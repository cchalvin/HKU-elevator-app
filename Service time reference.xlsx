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G:\Final Year Project\"/>
    </mc:Choice>
  </mc:AlternateContent>
  <xr:revisionPtr revIDLastSave="0" documentId="8_{AA91F67F-D261-4E8C-99E7-BB04A4A88E0F}" xr6:coauthVersionLast="47" xr6:coauthVersionMax="47" xr10:uidLastSave="{00000000-0000-0000-0000-000000000000}"/>
  <bookViews>
    <workbookView xWindow="-110" yWindow="-110" windowWidth="38620" windowHeight="21820" xr2:uid="{C17A7DCC-326C-469B-909D-B6B7BD65EFB0}"/>
  </bookViews>
  <sheets>
    <sheet name="Sheet1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4" i="8" l="1"/>
  <c r="F93" i="8"/>
  <c r="F92" i="8"/>
  <c r="F88" i="8"/>
  <c r="F89" i="8"/>
  <c r="F90" i="8"/>
  <c r="F91" i="8"/>
  <c r="F87" i="8"/>
  <c r="F86" i="8"/>
  <c r="B84" i="8"/>
  <c r="C84" i="8"/>
  <c r="D84" i="8"/>
  <c r="D85" i="8"/>
  <c r="C85" i="8"/>
  <c r="B85" i="8"/>
  <c r="F85" i="8"/>
  <c r="F84" i="8"/>
  <c r="F83" i="8"/>
  <c r="D82" i="8"/>
  <c r="C82" i="8"/>
  <c r="B82" i="8"/>
  <c r="F82" i="8"/>
  <c r="B81" i="8"/>
  <c r="C81" i="8"/>
  <c r="D81" i="8"/>
  <c r="F81" i="8"/>
  <c r="D80" i="8"/>
  <c r="C80" i="8"/>
  <c r="B80" i="8"/>
  <c r="F80" i="8"/>
  <c r="B79" i="8"/>
  <c r="C79" i="8"/>
  <c r="D79" i="8"/>
  <c r="F79" i="8"/>
  <c r="F78" i="8"/>
  <c r="B77" i="8"/>
  <c r="C77" i="8"/>
  <c r="D77" i="8"/>
  <c r="F77" i="8"/>
  <c r="D76" i="8"/>
  <c r="C76" i="8"/>
  <c r="B76" i="8"/>
  <c r="F76" i="8"/>
  <c r="F75" i="8"/>
  <c r="F74" i="8"/>
  <c r="F73" i="8"/>
  <c r="F72" i="8"/>
  <c r="D72" i="8"/>
  <c r="C72" i="8"/>
  <c r="B72" i="8"/>
  <c r="D71" i="8"/>
  <c r="C71" i="8"/>
  <c r="B71" i="8"/>
  <c r="F71" i="8"/>
  <c r="B70" i="8"/>
  <c r="C70" i="8"/>
  <c r="D70" i="8"/>
  <c r="F70" i="8"/>
  <c r="B69" i="8"/>
  <c r="C69" i="8"/>
  <c r="D69" i="8"/>
  <c r="F69" i="8"/>
  <c r="D68" i="8"/>
  <c r="C68" i="8"/>
  <c r="B68" i="8"/>
  <c r="F68" i="8"/>
  <c r="D67" i="8"/>
  <c r="C67" i="8"/>
  <c r="B67" i="8"/>
  <c r="F67" i="8"/>
  <c r="D66" i="8"/>
  <c r="B66" i="8"/>
  <c r="C66" i="8"/>
  <c r="F66" i="8"/>
  <c r="F65" i="8"/>
  <c r="F64" i="8"/>
  <c r="D63" i="8"/>
  <c r="C63" i="8"/>
  <c r="B63" i="8"/>
  <c r="D62" i="8"/>
  <c r="D61" i="8"/>
  <c r="D60" i="8"/>
  <c r="D59" i="8"/>
  <c r="C62" i="8"/>
  <c r="C61" i="8"/>
  <c r="C60" i="8"/>
  <c r="C59" i="8"/>
  <c r="B62" i="8"/>
  <c r="B61" i="8"/>
  <c r="B60" i="8"/>
  <c r="B59" i="8"/>
  <c r="F59" i="8"/>
  <c r="F60" i="8"/>
  <c r="F61" i="8"/>
  <c r="F62" i="8"/>
  <c r="F63" i="8"/>
  <c r="D58" i="8"/>
  <c r="C58" i="8"/>
  <c r="B58" i="8"/>
  <c r="F58" i="8"/>
  <c r="F2" i="8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D57" i="8"/>
  <c r="C57" i="8"/>
  <c r="B57" i="8"/>
  <c r="D56" i="8"/>
  <c r="C56" i="8"/>
  <c r="B56" i="8"/>
  <c r="D53" i="8"/>
  <c r="C53" i="8"/>
  <c r="B53" i="8"/>
  <c r="C49" i="8"/>
  <c r="B49" i="8"/>
  <c r="D48" i="8"/>
  <c r="C48" i="8"/>
  <c r="B48" i="8"/>
  <c r="D47" i="8"/>
  <c r="C47" i="8"/>
  <c r="B47" i="8"/>
  <c r="D46" i="8"/>
  <c r="C46" i="8"/>
  <c r="B46" i="8"/>
</calcChain>
</file>

<file path=xl/sharedStrings.xml><?xml version="1.0" encoding="utf-8"?>
<sst xmlns="http://schemas.openxmlformats.org/spreadsheetml/2006/main" count="122" uniqueCount="12">
  <si>
    <t>Travelling</t>
  </si>
  <si>
    <t>Leaving</t>
  </si>
  <si>
    <t>waiting and entering</t>
  </si>
  <si>
    <t>Capacity</t>
  </si>
  <si>
    <t>*</t>
    <phoneticPr fontId="1" type="noConversion"/>
  </si>
  <si>
    <t>Total Time</t>
    <phoneticPr fontId="1" type="noConversion"/>
  </si>
  <si>
    <t xml:space="preserve">Type </t>
    <phoneticPr fontId="1" type="noConversion"/>
  </si>
  <si>
    <t>Half-Period</t>
    <phoneticPr fontId="1" type="noConversion"/>
  </si>
  <si>
    <t>A2</t>
  </si>
  <si>
    <t>A1</t>
  </si>
  <si>
    <t>A1</t>
    <phoneticPr fontId="1" type="noConversion"/>
  </si>
  <si>
    <t>A2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</si>
</sst>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0"/>
      <name val="新細明體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7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2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0" fillId="2" borderId="2" xfId="0" applyFill="1" applyBorder="1"/>
    <xf numFmtId="0" fontId="0" fillId="2" borderId="1" xfId="0" applyFill="1" applyBorder="1"/>
    <xf numFmtId="0" fontId="0" fillId="2" borderId="4" xfId="0" applyFill="1" applyBorder="1"/>
    <xf numFmtId="0" fontId="0" fillId="0" borderId="2" xfId="0" applyBorder="1"/>
    <xf numFmtId="0" fontId="0" fillId="0" borderId="1" xfId="0" applyBorder="1"/>
    <xf numFmtId="0" fontId="0" fillId="2" borderId="3" xfId="0" applyFill="1" applyBorder="1"/>
    <xf numFmtId="0" fontId="0" fillId="0" borderId="5" xfId="0" applyBorder="1"/>
    <xf numFmtId="0" fontId="0" fillId="2" borderId="6" xfId="0" applyFill="1" applyBorder="1"/>
    <xf numFmtId="0" fontId="0" fillId="0" borderId="6" xfId="0" applyBorder="1"/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新細明體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新細明體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新細明體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新細明體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新細明體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新細明體"/>
        <family val="2"/>
        <scheme val="minor"/>
      </font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right style="thin">
          <color theme="4" tint="0.3999755851924192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新細明體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新細明體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B06834-5931-414E-A137-1B37BEB635C2}" name="Table1" displayName="Table1" ref="A1:G94" totalsRowShown="0" headerRowDxfId="8" dataDxfId="7" tableBorderDxfId="6">
  <autoFilter ref="A1:G94" xr:uid="{24B06834-5931-414E-A137-1B37BEB635C2}"/>
  <tableColumns count="7">
    <tableColumn id="1" xr3:uid="{010101C6-F479-4EE3-808C-D90909F39D77}" name="Half-Period"/>
    <tableColumn id="2" xr3:uid="{F17B20BD-D1F2-438E-9788-B9E31530302D}" name="Travelling" dataDxfId="5"/>
    <tableColumn id="3" xr3:uid="{E76867D0-739B-400F-AB21-86ED1F5843E9}" name="Leaving" dataDxfId="4"/>
    <tableColumn id="4" xr3:uid="{352E9B3A-1D1F-4423-BF44-DF51720F0804}" name="waiting and entering" dataDxfId="3"/>
    <tableColumn id="5" xr3:uid="{73486C05-91D2-46A8-8B76-5B44886513E2}" name="Capacity" dataDxfId="2"/>
    <tableColumn id="6" xr3:uid="{32D71D4D-F2FF-422F-8471-9C1A201D1B93}" name="Total Time" dataDxfId="1">
      <calculatedColumnFormula>SUM(Table1[[#This Row],[Travelling]:[waiting and entering]])</calculatedColumnFormula>
    </tableColumn>
    <tableColumn id="7" xr3:uid="{95A3C612-2D01-40E4-AA42-5BC86087AEEE}" name="Type 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5EF31-39F2-4DBB-91DD-12FC5F785A11}">
  <dimension ref="A1:G94"/>
  <sheetViews>
    <sheetView tabSelected="1" topLeftCell="A66" workbookViewId="0">
      <selection activeCell="F103" sqref="F103"/>
    </sheetView>
  </sheetViews>
  <sheetFormatPr defaultRowHeight="14.5" x14ac:dyDescent="0.3"/>
  <cols>
    <col min="1" max="1" width="14.8984375" customWidth="1"/>
    <col min="2" max="2" width="13.5" customWidth="1"/>
    <col min="3" max="3" width="11.09765625" customWidth="1"/>
    <col min="4" max="4" width="23.59765625" customWidth="1"/>
    <col min="5" max="5" width="11.69921875" customWidth="1"/>
    <col min="6" max="6" width="14.296875" customWidth="1"/>
    <col min="7" max="7" width="8.8984375" customWidth="1"/>
  </cols>
  <sheetData>
    <row r="1" spans="1:7" x14ac:dyDescent="0.3">
      <c r="A1" t="s">
        <v>7</v>
      </c>
      <c r="B1" s="1" t="s">
        <v>0</v>
      </c>
      <c r="C1" s="2" t="s">
        <v>1</v>
      </c>
      <c r="D1" s="1" t="s">
        <v>2</v>
      </c>
      <c r="E1" s="2" t="s">
        <v>3</v>
      </c>
      <c r="F1" s="3" t="s">
        <v>5</v>
      </c>
      <c r="G1" s="2" t="s">
        <v>6</v>
      </c>
    </row>
    <row r="2" spans="1:7" x14ac:dyDescent="0.3">
      <c r="A2">
        <v>1</v>
      </c>
      <c r="B2" s="4">
        <v>33</v>
      </c>
      <c r="C2" s="5">
        <v>6</v>
      </c>
      <c r="D2" s="5">
        <v>20</v>
      </c>
      <c r="E2" s="5" t="s">
        <v>4</v>
      </c>
      <c r="F2" s="5">
        <f>SUM(Table1[[#This Row],[Travelling]:[waiting and entering]])</f>
        <v>59</v>
      </c>
      <c r="G2" s="5" t="s">
        <v>8</v>
      </c>
    </row>
    <row r="3" spans="1:7" x14ac:dyDescent="0.3">
      <c r="A3">
        <v>2</v>
      </c>
      <c r="B3" s="7">
        <v>34</v>
      </c>
      <c r="C3" s="5">
        <v>5</v>
      </c>
      <c r="D3" s="8">
        <v>27</v>
      </c>
      <c r="E3" s="5" t="s">
        <v>4</v>
      </c>
      <c r="F3" s="5">
        <f>SUM(Table1[[#This Row],[Travelling]:[waiting and entering]])</f>
        <v>66</v>
      </c>
      <c r="G3" s="5" t="s">
        <v>8</v>
      </c>
    </row>
    <row r="4" spans="1:7" x14ac:dyDescent="0.3">
      <c r="A4">
        <v>3</v>
      </c>
      <c r="B4" s="4">
        <v>35</v>
      </c>
      <c r="C4" s="5">
        <v>5</v>
      </c>
      <c r="D4" s="5">
        <v>67</v>
      </c>
      <c r="E4" s="5" t="s">
        <v>4</v>
      </c>
      <c r="F4" s="5">
        <f>SUM(Table1[[#This Row],[Travelling]:[waiting and entering]])</f>
        <v>107</v>
      </c>
      <c r="G4" s="5" t="s">
        <v>8</v>
      </c>
    </row>
    <row r="5" spans="1:7" x14ac:dyDescent="0.3">
      <c r="A5">
        <v>4</v>
      </c>
      <c r="B5" s="7">
        <v>31</v>
      </c>
      <c r="C5" s="5">
        <v>8</v>
      </c>
      <c r="D5" s="8">
        <v>43</v>
      </c>
      <c r="E5" s="5" t="s">
        <v>4</v>
      </c>
      <c r="F5" s="5">
        <f>SUM(Table1[[#This Row],[Travelling]:[waiting and entering]])</f>
        <v>82</v>
      </c>
      <c r="G5" s="5" t="s">
        <v>8</v>
      </c>
    </row>
    <row r="6" spans="1:7" x14ac:dyDescent="0.3">
      <c r="A6">
        <v>5</v>
      </c>
      <c r="B6" s="4">
        <v>32</v>
      </c>
      <c r="C6" s="5">
        <v>10</v>
      </c>
      <c r="D6" s="5">
        <v>28</v>
      </c>
      <c r="E6" s="5" t="s">
        <v>4</v>
      </c>
      <c r="F6" s="5">
        <f>SUM(Table1[[#This Row],[Travelling]:[waiting and entering]])</f>
        <v>70</v>
      </c>
      <c r="G6" s="5" t="s">
        <v>8</v>
      </c>
    </row>
    <row r="7" spans="1:7" x14ac:dyDescent="0.3">
      <c r="A7">
        <v>6</v>
      </c>
      <c r="B7" s="7">
        <v>32</v>
      </c>
      <c r="C7" s="5">
        <v>9</v>
      </c>
      <c r="D7" s="8">
        <v>14</v>
      </c>
      <c r="E7" s="5" t="s">
        <v>4</v>
      </c>
      <c r="F7" s="5">
        <f>SUM(Table1[[#This Row],[Travelling]:[waiting and entering]])</f>
        <v>55</v>
      </c>
      <c r="G7" s="5" t="s">
        <v>8</v>
      </c>
    </row>
    <row r="8" spans="1:7" x14ac:dyDescent="0.3">
      <c r="A8">
        <v>7</v>
      </c>
      <c r="B8" s="4">
        <v>33</v>
      </c>
      <c r="C8" s="5">
        <v>5</v>
      </c>
      <c r="D8" s="5">
        <v>23</v>
      </c>
      <c r="E8" s="5" t="s">
        <v>4</v>
      </c>
      <c r="F8" s="5">
        <f>SUM(Table1[[#This Row],[Travelling]:[waiting and entering]])</f>
        <v>61</v>
      </c>
      <c r="G8" s="5" t="s">
        <v>8</v>
      </c>
    </row>
    <row r="9" spans="1:7" x14ac:dyDescent="0.3">
      <c r="A9">
        <v>8</v>
      </c>
      <c r="B9" s="7">
        <v>31</v>
      </c>
      <c r="C9" s="5">
        <v>9</v>
      </c>
      <c r="D9" s="8">
        <v>83</v>
      </c>
      <c r="E9" s="5" t="s">
        <v>4</v>
      </c>
      <c r="F9" s="5">
        <f>SUM(Table1[[#This Row],[Travelling]:[waiting and entering]])</f>
        <v>123</v>
      </c>
      <c r="G9" s="5" t="s">
        <v>8</v>
      </c>
    </row>
    <row r="10" spans="1:7" x14ac:dyDescent="0.3">
      <c r="A10">
        <v>9</v>
      </c>
      <c r="B10" s="4">
        <v>32</v>
      </c>
      <c r="C10" s="5">
        <v>4</v>
      </c>
      <c r="D10" s="5">
        <v>29</v>
      </c>
      <c r="E10" s="5" t="s">
        <v>4</v>
      </c>
      <c r="F10" s="5">
        <f>SUM(Table1[[#This Row],[Travelling]:[waiting and entering]])</f>
        <v>65</v>
      </c>
      <c r="G10" s="5" t="s">
        <v>8</v>
      </c>
    </row>
    <row r="11" spans="1:7" x14ac:dyDescent="0.3">
      <c r="A11">
        <v>10</v>
      </c>
      <c r="B11" s="7">
        <v>31</v>
      </c>
      <c r="C11" s="5">
        <v>10</v>
      </c>
      <c r="D11" s="8">
        <v>13</v>
      </c>
      <c r="E11" s="5">
        <v>2</v>
      </c>
      <c r="F11" s="5">
        <f>SUM(Table1[[#This Row],[Travelling]:[waiting and entering]])</f>
        <v>54</v>
      </c>
      <c r="G11" s="5" t="s">
        <v>8</v>
      </c>
    </row>
    <row r="12" spans="1:7" x14ac:dyDescent="0.3">
      <c r="A12">
        <v>11</v>
      </c>
      <c r="B12" s="4">
        <v>32</v>
      </c>
      <c r="C12" s="5">
        <v>10</v>
      </c>
      <c r="D12" s="5">
        <v>10</v>
      </c>
      <c r="E12" s="5">
        <v>2</v>
      </c>
      <c r="F12" s="5">
        <f>SUM(Table1[[#This Row],[Travelling]:[waiting and entering]])</f>
        <v>52</v>
      </c>
      <c r="G12" s="5" t="s">
        <v>8</v>
      </c>
    </row>
    <row r="13" spans="1:7" x14ac:dyDescent="0.3">
      <c r="A13">
        <v>12</v>
      </c>
      <c r="B13" s="7">
        <v>32</v>
      </c>
      <c r="C13" s="5">
        <v>4</v>
      </c>
      <c r="D13" s="8">
        <v>31</v>
      </c>
      <c r="E13" s="5">
        <v>6</v>
      </c>
      <c r="F13" s="5">
        <f>SUM(Table1[[#This Row],[Travelling]:[waiting and entering]])</f>
        <v>67</v>
      </c>
      <c r="G13" s="5" t="s">
        <v>8</v>
      </c>
    </row>
    <row r="14" spans="1:7" x14ac:dyDescent="0.3">
      <c r="A14">
        <v>13</v>
      </c>
      <c r="B14" s="4">
        <v>31</v>
      </c>
      <c r="C14" s="5">
        <v>8</v>
      </c>
      <c r="D14" s="5">
        <v>10</v>
      </c>
      <c r="E14" s="5">
        <v>10</v>
      </c>
      <c r="F14" s="5">
        <f>SUM(Table1[[#This Row],[Travelling]:[waiting and entering]])</f>
        <v>49</v>
      </c>
      <c r="G14" s="5" t="s">
        <v>8</v>
      </c>
    </row>
    <row r="15" spans="1:7" x14ac:dyDescent="0.3">
      <c r="A15">
        <v>14</v>
      </c>
      <c r="B15" s="7">
        <v>32</v>
      </c>
      <c r="C15" s="5">
        <v>3</v>
      </c>
      <c r="D15" s="8">
        <v>28</v>
      </c>
      <c r="E15" s="5">
        <v>1</v>
      </c>
      <c r="F15" s="5">
        <f>SUM(Table1[[#This Row],[Travelling]:[waiting and entering]])</f>
        <v>63</v>
      </c>
      <c r="G15" s="5" t="s">
        <v>8</v>
      </c>
    </row>
    <row r="16" spans="1:7" x14ac:dyDescent="0.3">
      <c r="A16">
        <v>15</v>
      </c>
      <c r="B16" s="4">
        <v>33</v>
      </c>
      <c r="C16" s="5">
        <v>10</v>
      </c>
      <c r="D16" s="5">
        <v>37</v>
      </c>
      <c r="E16" s="5">
        <v>12</v>
      </c>
      <c r="F16" s="5">
        <f>SUM(Table1[[#This Row],[Travelling]:[waiting and entering]])</f>
        <v>80</v>
      </c>
      <c r="G16" s="5" t="s">
        <v>8</v>
      </c>
    </row>
    <row r="17" spans="1:7" x14ac:dyDescent="0.3">
      <c r="A17">
        <v>16</v>
      </c>
      <c r="B17" s="7">
        <v>33</v>
      </c>
      <c r="C17" s="5">
        <v>3</v>
      </c>
      <c r="D17" s="8">
        <v>28</v>
      </c>
      <c r="E17" s="5">
        <v>1</v>
      </c>
      <c r="F17" s="5">
        <f>SUM(Table1[[#This Row],[Travelling]:[waiting and entering]])</f>
        <v>64</v>
      </c>
      <c r="G17" s="5" t="s">
        <v>8</v>
      </c>
    </row>
    <row r="18" spans="1:7" x14ac:dyDescent="0.3">
      <c r="A18">
        <v>17</v>
      </c>
      <c r="B18" s="4">
        <v>32</v>
      </c>
      <c r="C18" s="5">
        <v>9</v>
      </c>
      <c r="D18" s="5">
        <v>24</v>
      </c>
      <c r="E18" s="5">
        <v>13</v>
      </c>
      <c r="F18" s="5">
        <f>SUM(Table1[[#This Row],[Travelling]:[waiting and entering]])</f>
        <v>65</v>
      </c>
      <c r="G18" s="5" t="s">
        <v>8</v>
      </c>
    </row>
    <row r="19" spans="1:7" x14ac:dyDescent="0.3">
      <c r="A19">
        <v>18</v>
      </c>
      <c r="B19" s="7">
        <v>32</v>
      </c>
      <c r="C19" s="5">
        <v>11</v>
      </c>
      <c r="D19" s="8">
        <v>32</v>
      </c>
      <c r="E19" s="5">
        <v>12</v>
      </c>
      <c r="F19" s="5">
        <f>SUM(Table1[[#This Row],[Travelling]:[waiting and entering]])</f>
        <v>75</v>
      </c>
      <c r="G19" s="5" t="s">
        <v>8</v>
      </c>
    </row>
    <row r="20" spans="1:7" x14ac:dyDescent="0.3">
      <c r="A20">
        <v>19</v>
      </c>
      <c r="B20" s="9">
        <v>32</v>
      </c>
      <c r="C20" s="6">
        <v>9</v>
      </c>
      <c r="D20" s="6">
        <v>40</v>
      </c>
      <c r="E20" s="6">
        <v>13</v>
      </c>
      <c r="F20" s="5">
        <f>SUM(Table1[[#This Row],[Travelling]:[waiting and entering]])</f>
        <v>81</v>
      </c>
      <c r="G20" s="5" t="s">
        <v>8</v>
      </c>
    </row>
    <row r="21" spans="1:7" x14ac:dyDescent="0.3">
      <c r="A21">
        <v>20</v>
      </c>
      <c r="B21" s="7">
        <v>31</v>
      </c>
      <c r="C21" s="5">
        <v>10</v>
      </c>
      <c r="D21" s="8">
        <v>24</v>
      </c>
      <c r="E21" s="5">
        <v>15</v>
      </c>
      <c r="F21" s="5">
        <f>SUM(Table1[[#This Row],[Travelling]:[waiting and entering]])</f>
        <v>65</v>
      </c>
      <c r="G21" s="5" t="s">
        <v>8</v>
      </c>
    </row>
    <row r="22" spans="1:7" x14ac:dyDescent="0.3">
      <c r="A22">
        <v>21</v>
      </c>
      <c r="B22" s="4">
        <v>31</v>
      </c>
      <c r="C22" s="5">
        <v>11</v>
      </c>
      <c r="D22" s="5">
        <v>20</v>
      </c>
      <c r="E22" s="5">
        <v>16</v>
      </c>
      <c r="F22" s="5">
        <f>SUM(Table1[[#This Row],[Travelling]:[waiting and entering]])</f>
        <v>62</v>
      </c>
      <c r="G22" s="5" t="s">
        <v>8</v>
      </c>
    </row>
    <row r="23" spans="1:7" x14ac:dyDescent="0.3">
      <c r="A23">
        <v>22</v>
      </c>
      <c r="B23" s="7">
        <v>32</v>
      </c>
      <c r="C23" s="5">
        <v>8</v>
      </c>
      <c r="D23" s="8">
        <v>18</v>
      </c>
      <c r="E23" s="5">
        <v>10</v>
      </c>
      <c r="F23" s="5">
        <f>SUM(Table1[[#This Row],[Travelling]:[waiting and entering]])</f>
        <v>58</v>
      </c>
      <c r="G23" s="5" t="s">
        <v>8</v>
      </c>
    </row>
    <row r="24" spans="1:7" x14ac:dyDescent="0.3">
      <c r="A24">
        <v>23</v>
      </c>
      <c r="B24" s="4">
        <v>31</v>
      </c>
      <c r="C24" s="5">
        <v>10</v>
      </c>
      <c r="D24" s="5">
        <v>22</v>
      </c>
      <c r="E24" s="5">
        <v>15</v>
      </c>
      <c r="F24" s="5">
        <f>SUM(Table1[[#This Row],[Travelling]:[waiting and entering]])</f>
        <v>63</v>
      </c>
      <c r="G24" s="5" t="s">
        <v>8</v>
      </c>
    </row>
    <row r="25" spans="1:7" x14ac:dyDescent="0.3">
      <c r="A25">
        <v>24</v>
      </c>
      <c r="B25" s="7">
        <v>32</v>
      </c>
      <c r="C25" s="5">
        <v>7</v>
      </c>
      <c r="D25" s="8">
        <v>18</v>
      </c>
      <c r="E25" s="5">
        <v>8</v>
      </c>
      <c r="F25" s="5">
        <f>SUM(Table1[[#This Row],[Travelling]:[waiting and entering]])</f>
        <v>57</v>
      </c>
      <c r="G25" s="5" t="s">
        <v>8</v>
      </c>
    </row>
    <row r="26" spans="1:7" x14ac:dyDescent="0.3">
      <c r="A26">
        <v>25</v>
      </c>
      <c r="B26" s="4">
        <v>32</v>
      </c>
      <c r="C26" s="5">
        <v>9</v>
      </c>
      <c r="D26" s="5">
        <v>17</v>
      </c>
      <c r="E26" s="5">
        <v>13</v>
      </c>
      <c r="F26" s="5">
        <f>SUM(Table1[[#This Row],[Travelling]:[waiting and entering]])</f>
        <v>58</v>
      </c>
      <c r="G26" s="5" t="s">
        <v>8</v>
      </c>
    </row>
    <row r="27" spans="1:7" x14ac:dyDescent="0.3">
      <c r="A27">
        <v>26</v>
      </c>
      <c r="B27" s="7">
        <v>33</v>
      </c>
      <c r="C27" s="5">
        <v>11</v>
      </c>
      <c r="D27" s="8">
        <v>26</v>
      </c>
      <c r="E27" s="5">
        <v>7</v>
      </c>
      <c r="F27" s="5">
        <f>SUM(Table1[[#This Row],[Travelling]:[waiting and entering]])</f>
        <v>70</v>
      </c>
      <c r="G27" s="5" t="s">
        <v>8</v>
      </c>
    </row>
    <row r="28" spans="1:7" x14ac:dyDescent="0.3">
      <c r="A28">
        <v>27</v>
      </c>
      <c r="B28" s="4">
        <v>32</v>
      </c>
      <c r="C28" s="5">
        <v>8</v>
      </c>
      <c r="D28" s="5">
        <v>14</v>
      </c>
      <c r="E28" s="5">
        <v>10</v>
      </c>
      <c r="F28" s="5">
        <f>SUM(Table1[[#This Row],[Travelling]:[waiting and entering]])</f>
        <v>54</v>
      </c>
      <c r="G28" s="5" t="s">
        <v>8</v>
      </c>
    </row>
    <row r="29" spans="1:7" x14ac:dyDescent="0.3">
      <c r="A29">
        <v>28</v>
      </c>
      <c r="B29" s="7">
        <v>33</v>
      </c>
      <c r="C29" s="5">
        <v>5</v>
      </c>
      <c r="D29" s="8">
        <v>17</v>
      </c>
      <c r="E29" s="5">
        <v>6</v>
      </c>
      <c r="F29" s="5">
        <f>SUM(Table1[[#This Row],[Travelling]:[waiting and entering]])</f>
        <v>55</v>
      </c>
      <c r="G29" s="5" t="s">
        <v>8</v>
      </c>
    </row>
    <row r="30" spans="1:7" x14ac:dyDescent="0.3">
      <c r="A30">
        <v>29</v>
      </c>
      <c r="B30" s="4">
        <v>32</v>
      </c>
      <c r="C30" s="5">
        <v>10</v>
      </c>
      <c r="D30" s="5">
        <v>26</v>
      </c>
      <c r="E30" s="5">
        <v>16</v>
      </c>
      <c r="F30" s="5">
        <f>SUM(Table1[[#This Row],[Travelling]:[waiting and entering]])</f>
        <v>68</v>
      </c>
      <c r="G30" s="5" t="s">
        <v>8</v>
      </c>
    </row>
    <row r="31" spans="1:7" x14ac:dyDescent="0.3">
      <c r="A31">
        <v>30</v>
      </c>
      <c r="B31" s="7">
        <v>32</v>
      </c>
      <c r="C31" s="5">
        <v>3</v>
      </c>
      <c r="D31" s="8">
        <v>10</v>
      </c>
      <c r="E31" s="5">
        <v>3</v>
      </c>
      <c r="F31" s="5">
        <f>SUM(Table1[[#This Row],[Travelling]:[waiting and entering]])</f>
        <v>45</v>
      </c>
      <c r="G31" s="5" t="s">
        <v>8</v>
      </c>
    </row>
    <row r="32" spans="1:7" x14ac:dyDescent="0.3">
      <c r="A32">
        <v>31</v>
      </c>
      <c r="B32" s="4">
        <v>33</v>
      </c>
      <c r="C32" s="5">
        <v>11</v>
      </c>
      <c r="D32" s="5">
        <v>23</v>
      </c>
      <c r="E32" s="5">
        <v>16</v>
      </c>
      <c r="F32" s="5">
        <f>SUM(Table1[[#This Row],[Travelling]:[waiting and entering]])</f>
        <v>67</v>
      </c>
      <c r="G32" s="5" t="s">
        <v>8</v>
      </c>
    </row>
    <row r="33" spans="1:7" x14ac:dyDescent="0.3">
      <c r="A33">
        <v>32</v>
      </c>
      <c r="B33" s="7">
        <v>31</v>
      </c>
      <c r="C33" s="5">
        <v>4</v>
      </c>
      <c r="D33" s="8">
        <v>12</v>
      </c>
      <c r="E33" s="5">
        <v>5</v>
      </c>
      <c r="F33" s="5">
        <f>SUM(Table1[[#This Row],[Travelling]:[waiting and entering]])</f>
        <v>47</v>
      </c>
      <c r="G33" s="5" t="s">
        <v>8</v>
      </c>
    </row>
    <row r="34" spans="1:7" x14ac:dyDescent="0.3">
      <c r="A34">
        <v>33</v>
      </c>
      <c r="B34" s="4">
        <v>32</v>
      </c>
      <c r="C34" s="5">
        <v>8</v>
      </c>
      <c r="D34" s="5">
        <v>16</v>
      </c>
      <c r="E34" s="5">
        <v>7</v>
      </c>
      <c r="F34" s="5">
        <f>SUM(Table1[[#This Row],[Travelling]:[waiting and entering]])</f>
        <v>56</v>
      </c>
      <c r="G34" s="5" t="s">
        <v>8</v>
      </c>
    </row>
    <row r="35" spans="1:7" x14ac:dyDescent="0.3">
      <c r="A35">
        <v>34</v>
      </c>
      <c r="B35" s="7">
        <v>32</v>
      </c>
      <c r="C35" s="5">
        <v>8</v>
      </c>
      <c r="D35" s="8">
        <v>24</v>
      </c>
      <c r="E35" s="5">
        <v>10</v>
      </c>
      <c r="F35" s="5">
        <f>SUM(Table1[[#This Row],[Travelling]:[waiting and entering]])</f>
        <v>64</v>
      </c>
      <c r="G35" s="5" t="s">
        <v>8</v>
      </c>
    </row>
    <row r="36" spans="1:7" x14ac:dyDescent="0.3">
      <c r="A36">
        <v>35</v>
      </c>
      <c r="B36" s="4">
        <v>33</v>
      </c>
      <c r="C36" s="5">
        <v>10</v>
      </c>
      <c r="D36" s="5">
        <v>24</v>
      </c>
      <c r="E36" s="5">
        <v>16</v>
      </c>
      <c r="F36" s="5">
        <f>SUM(Table1[[#This Row],[Travelling]:[waiting and entering]])</f>
        <v>67</v>
      </c>
      <c r="G36" s="5" t="s">
        <v>8</v>
      </c>
    </row>
    <row r="37" spans="1:7" x14ac:dyDescent="0.3">
      <c r="A37">
        <v>36</v>
      </c>
      <c r="B37" s="7">
        <v>32</v>
      </c>
      <c r="C37" s="5">
        <v>8</v>
      </c>
      <c r="D37" s="8">
        <v>22</v>
      </c>
      <c r="E37" s="5">
        <v>9</v>
      </c>
      <c r="F37" s="5">
        <f>SUM(Table1[[#This Row],[Travelling]:[waiting and entering]])</f>
        <v>62</v>
      </c>
      <c r="G37" s="5" t="s">
        <v>8</v>
      </c>
    </row>
    <row r="38" spans="1:7" x14ac:dyDescent="0.3">
      <c r="A38">
        <v>37</v>
      </c>
      <c r="B38" s="4">
        <v>33</v>
      </c>
      <c r="C38" s="5">
        <v>11</v>
      </c>
      <c r="D38" s="5">
        <v>18</v>
      </c>
      <c r="E38" s="5">
        <v>17</v>
      </c>
      <c r="F38" s="5">
        <f>SUM(Table1[[#This Row],[Travelling]:[waiting and entering]])</f>
        <v>62</v>
      </c>
      <c r="G38" s="5" t="s">
        <v>8</v>
      </c>
    </row>
    <row r="39" spans="1:7" x14ac:dyDescent="0.3">
      <c r="A39">
        <v>38</v>
      </c>
      <c r="B39" s="7">
        <v>31</v>
      </c>
      <c r="C39" s="5">
        <v>10</v>
      </c>
      <c r="D39" s="8">
        <v>23</v>
      </c>
      <c r="E39" s="5">
        <v>12</v>
      </c>
      <c r="F39" s="5">
        <f>SUM(Table1[[#This Row],[Travelling]:[waiting and entering]])</f>
        <v>64</v>
      </c>
      <c r="G39" s="5" t="s">
        <v>8</v>
      </c>
    </row>
    <row r="40" spans="1:7" x14ac:dyDescent="0.3">
      <c r="A40">
        <v>39</v>
      </c>
      <c r="B40" s="4">
        <v>33</v>
      </c>
      <c r="C40" s="5">
        <v>10</v>
      </c>
      <c r="D40" s="5">
        <v>30</v>
      </c>
      <c r="E40" s="5">
        <v>15</v>
      </c>
      <c r="F40" s="5">
        <f>SUM(Table1[[#This Row],[Travelling]:[waiting and entering]])</f>
        <v>73</v>
      </c>
      <c r="G40" s="5" t="s">
        <v>8</v>
      </c>
    </row>
    <row r="41" spans="1:7" x14ac:dyDescent="0.3">
      <c r="A41">
        <v>40</v>
      </c>
      <c r="B41" s="7">
        <v>32</v>
      </c>
      <c r="C41" s="5">
        <v>9</v>
      </c>
      <c r="D41" s="8">
        <v>20</v>
      </c>
      <c r="E41" s="5">
        <v>9</v>
      </c>
      <c r="F41" s="5">
        <f>SUM(Table1[[#This Row],[Travelling]:[waiting and entering]])</f>
        <v>61</v>
      </c>
      <c r="G41" s="5" t="s">
        <v>8</v>
      </c>
    </row>
    <row r="42" spans="1:7" x14ac:dyDescent="0.3">
      <c r="A42">
        <v>41</v>
      </c>
      <c r="B42" s="4">
        <v>32</v>
      </c>
      <c r="C42" s="5">
        <v>10</v>
      </c>
      <c r="D42" s="5">
        <v>21</v>
      </c>
      <c r="E42" s="5">
        <v>15</v>
      </c>
      <c r="F42" s="5">
        <f>SUM(Table1[[#This Row],[Travelling]:[waiting and entering]])</f>
        <v>63</v>
      </c>
      <c r="G42" s="5" t="s">
        <v>8</v>
      </c>
    </row>
    <row r="43" spans="1:7" x14ac:dyDescent="0.3">
      <c r="A43">
        <v>42</v>
      </c>
      <c r="B43" s="7">
        <v>30</v>
      </c>
      <c r="C43" s="5">
        <v>15</v>
      </c>
      <c r="D43" s="8">
        <v>24</v>
      </c>
      <c r="E43" s="5">
        <v>15</v>
      </c>
      <c r="F43" s="5">
        <f>SUM(Table1[[#This Row],[Travelling]:[waiting and entering]])</f>
        <v>69</v>
      </c>
      <c r="G43" s="5" t="s">
        <v>8</v>
      </c>
    </row>
    <row r="44" spans="1:7" x14ac:dyDescent="0.3">
      <c r="A44">
        <v>43</v>
      </c>
      <c r="B44" s="4">
        <v>31</v>
      </c>
      <c r="C44" s="5">
        <v>10</v>
      </c>
      <c r="D44" s="5">
        <v>25</v>
      </c>
      <c r="E44" s="5">
        <v>12</v>
      </c>
      <c r="F44" s="5">
        <f>SUM(Table1[[#This Row],[Travelling]:[waiting and entering]])</f>
        <v>66</v>
      </c>
      <c r="G44" s="5" t="s">
        <v>8</v>
      </c>
    </row>
    <row r="45" spans="1:7" x14ac:dyDescent="0.3">
      <c r="A45">
        <v>44</v>
      </c>
      <c r="B45" s="7">
        <v>32</v>
      </c>
      <c r="C45" s="5">
        <v>9</v>
      </c>
      <c r="D45" s="8">
        <v>32</v>
      </c>
      <c r="E45" s="5" t="s">
        <v>4</v>
      </c>
      <c r="F45" s="5">
        <f>SUM(Table1[[#This Row],[Travelling]:[waiting and entering]])</f>
        <v>73</v>
      </c>
      <c r="G45" s="5" t="s">
        <v>8</v>
      </c>
    </row>
    <row r="46" spans="1:7" x14ac:dyDescent="0.3">
      <c r="A46">
        <v>45</v>
      </c>
      <c r="B46" s="4">
        <f>29+21</f>
        <v>50</v>
      </c>
      <c r="C46" s="5">
        <f>9+4</f>
        <v>13</v>
      </c>
      <c r="D46" s="5">
        <f>24+9</f>
        <v>33</v>
      </c>
      <c r="E46" s="5" t="s">
        <v>4</v>
      </c>
      <c r="F46" s="5">
        <f>SUM(Table1[[#This Row],[Travelling]:[waiting and entering]])</f>
        <v>96</v>
      </c>
      <c r="G46" s="5" t="s">
        <v>9</v>
      </c>
    </row>
    <row r="47" spans="1:7" x14ac:dyDescent="0.3">
      <c r="A47">
        <v>46</v>
      </c>
      <c r="B47" s="4">
        <f>27+22</f>
        <v>49</v>
      </c>
      <c r="C47" s="5">
        <f>6+7</f>
        <v>13</v>
      </c>
      <c r="D47" s="8">
        <f>19+9</f>
        <v>28</v>
      </c>
      <c r="E47" s="5" t="s">
        <v>4</v>
      </c>
      <c r="F47" s="5">
        <f>SUM(Table1[[#This Row],[Travelling]:[waiting and entering]])</f>
        <v>90</v>
      </c>
      <c r="G47" s="5" t="s">
        <v>9</v>
      </c>
    </row>
    <row r="48" spans="1:7" x14ac:dyDescent="0.3">
      <c r="A48">
        <v>47</v>
      </c>
      <c r="B48" s="4">
        <f>28+23</f>
        <v>51</v>
      </c>
      <c r="C48" s="5">
        <f>1+18</f>
        <v>19</v>
      </c>
      <c r="D48" s="5">
        <f>7+20</f>
        <v>27</v>
      </c>
      <c r="E48" s="5" t="s">
        <v>4</v>
      </c>
      <c r="F48" s="5">
        <f>SUM(Table1[[#This Row],[Travelling]:[waiting and entering]])</f>
        <v>97</v>
      </c>
      <c r="G48" s="5" t="s">
        <v>9</v>
      </c>
    </row>
    <row r="49" spans="1:7" x14ac:dyDescent="0.3">
      <c r="A49">
        <v>48</v>
      </c>
      <c r="B49" s="7">
        <f>27+20</f>
        <v>47</v>
      </c>
      <c r="C49" s="5">
        <f>8+10</f>
        <v>18</v>
      </c>
      <c r="D49" s="8">
        <v>40</v>
      </c>
      <c r="E49" s="5" t="s">
        <v>4</v>
      </c>
      <c r="F49" s="5">
        <f>SUM(Table1[[#This Row],[Travelling]:[waiting and entering]])</f>
        <v>105</v>
      </c>
      <c r="G49" s="5" t="s">
        <v>9</v>
      </c>
    </row>
    <row r="50" spans="1:7" x14ac:dyDescent="0.3">
      <c r="A50">
        <v>49</v>
      </c>
      <c r="B50" s="4">
        <v>33</v>
      </c>
      <c r="C50" s="5">
        <v>3</v>
      </c>
      <c r="D50" s="5">
        <v>19</v>
      </c>
      <c r="E50" s="5" t="s">
        <v>4</v>
      </c>
      <c r="F50" s="5">
        <f>SUM(Table1[[#This Row],[Travelling]:[waiting and entering]])</f>
        <v>55</v>
      </c>
      <c r="G50" s="5" t="s">
        <v>8</v>
      </c>
    </row>
    <row r="51" spans="1:7" x14ac:dyDescent="0.3">
      <c r="A51">
        <v>50</v>
      </c>
      <c r="B51" s="7">
        <v>33</v>
      </c>
      <c r="C51" s="5">
        <v>7</v>
      </c>
      <c r="D51" s="8">
        <v>28</v>
      </c>
      <c r="E51" s="5" t="s">
        <v>4</v>
      </c>
      <c r="F51" s="5">
        <f>SUM(Table1[[#This Row],[Travelling]:[waiting and entering]])</f>
        <v>68</v>
      </c>
      <c r="G51" s="5" t="s">
        <v>8</v>
      </c>
    </row>
    <row r="52" spans="1:7" x14ac:dyDescent="0.3">
      <c r="A52">
        <v>51</v>
      </c>
      <c r="B52" s="4">
        <v>34</v>
      </c>
      <c r="C52" s="5">
        <v>4</v>
      </c>
      <c r="D52" s="5">
        <v>19</v>
      </c>
      <c r="E52" s="5" t="s">
        <v>4</v>
      </c>
      <c r="F52" s="5">
        <f>SUM(Table1[[#This Row],[Travelling]:[waiting and entering]])</f>
        <v>57</v>
      </c>
      <c r="G52" s="5" t="s">
        <v>8</v>
      </c>
    </row>
    <row r="53" spans="1:7" x14ac:dyDescent="0.3">
      <c r="A53">
        <v>52</v>
      </c>
      <c r="B53" s="7">
        <f>26+19</f>
        <v>45</v>
      </c>
      <c r="C53" s="5">
        <f>8+2</f>
        <v>10</v>
      </c>
      <c r="D53" s="8">
        <f>25+8</f>
        <v>33</v>
      </c>
      <c r="E53" s="5" t="s">
        <v>4</v>
      </c>
      <c r="F53" s="5">
        <f>SUM(Table1[[#This Row],[Travelling]:[waiting and entering]])</f>
        <v>88</v>
      </c>
      <c r="G53" s="5" t="s">
        <v>9</v>
      </c>
    </row>
    <row r="54" spans="1:7" x14ac:dyDescent="0.3">
      <c r="A54">
        <v>53</v>
      </c>
      <c r="B54" s="4">
        <v>33</v>
      </c>
      <c r="C54" s="5">
        <v>6</v>
      </c>
      <c r="D54" s="5">
        <v>16</v>
      </c>
      <c r="E54" s="5" t="s">
        <v>4</v>
      </c>
      <c r="F54" s="5">
        <f>SUM(Table1[[#This Row],[Travelling]:[waiting and entering]])</f>
        <v>55</v>
      </c>
      <c r="G54" s="5" t="s">
        <v>8</v>
      </c>
    </row>
    <row r="55" spans="1:7" x14ac:dyDescent="0.3">
      <c r="A55">
        <v>54</v>
      </c>
      <c r="B55" s="7">
        <v>32</v>
      </c>
      <c r="C55" s="5">
        <v>9</v>
      </c>
      <c r="D55" s="8">
        <v>28</v>
      </c>
      <c r="E55" s="5" t="s">
        <v>4</v>
      </c>
      <c r="F55" s="5">
        <f>SUM(Table1[[#This Row],[Travelling]:[waiting and entering]])</f>
        <v>69</v>
      </c>
      <c r="G55" s="5" t="s">
        <v>8</v>
      </c>
    </row>
    <row r="56" spans="1:7" x14ac:dyDescent="0.3">
      <c r="A56">
        <v>55</v>
      </c>
      <c r="B56" s="4">
        <f>26+32</f>
        <v>58</v>
      </c>
      <c r="C56" s="5">
        <f>9+15</f>
        <v>24</v>
      </c>
      <c r="D56" s="5">
        <f>23+14</f>
        <v>37</v>
      </c>
      <c r="E56" s="5" t="s">
        <v>4</v>
      </c>
      <c r="F56" s="5">
        <f>SUM(Table1[[#This Row],[Travelling]:[waiting and entering]])</f>
        <v>119</v>
      </c>
      <c r="G56" s="5" t="s">
        <v>9</v>
      </c>
    </row>
    <row r="57" spans="1:7" x14ac:dyDescent="0.3">
      <c r="A57">
        <v>56</v>
      </c>
      <c r="B57" s="7">
        <f>27+22</f>
        <v>49</v>
      </c>
      <c r="C57" s="5">
        <f>7+6</f>
        <v>13</v>
      </c>
      <c r="D57" s="8">
        <f>19+9</f>
        <v>28</v>
      </c>
      <c r="E57" s="5" t="s">
        <v>4</v>
      </c>
      <c r="F57" s="5">
        <f>SUM(Table1[[#This Row],[Travelling]:[waiting and entering]])</f>
        <v>90</v>
      </c>
      <c r="G57" s="5" t="s">
        <v>9</v>
      </c>
    </row>
    <row r="58" spans="1:7" x14ac:dyDescent="0.3">
      <c r="A58">
        <v>57</v>
      </c>
      <c r="B58" s="10">
        <f>24 + 19</f>
        <v>43</v>
      </c>
      <c r="C58" s="11">
        <f xml:space="preserve"> 7 + 4</f>
        <v>11</v>
      </c>
      <c r="D58" s="12">
        <f>22 + 6</f>
        <v>28</v>
      </c>
      <c r="E58" s="11">
        <v>16</v>
      </c>
      <c r="F58" s="11">
        <f>SUM(Table1[[#This Row],[Travelling]:[waiting and entering]])</f>
        <v>82</v>
      </c>
      <c r="G58" s="11" t="s">
        <v>9</v>
      </c>
    </row>
    <row r="59" spans="1:7" x14ac:dyDescent="0.3">
      <c r="A59">
        <v>58</v>
      </c>
      <c r="B59" s="7">
        <f>27 + 20</f>
        <v>47</v>
      </c>
      <c r="C59" s="5">
        <f>6 + 5</f>
        <v>11</v>
      </c>
      <c r="D59" s="8">
        <f>35 + 10</f>
        <v>45</v>
      </c>
      <c r="E59" s="5">
        <v>12</v>
      </c>
      <c r="F59" s="5">
        <f>SUM(Table1[[#This Row],[Travelling]:[waiting and entering]])</f>
        <v>103</v>
      </c>
      <c r="G59" s="5" t="s">
        <v>9</v>
      </c>
    </row>
    <row r="60" spans="1:7" x14ac:dyDescent="0.3">
      <c r="A60">
        <v>59</v>
      </c>
      <c r="B60" s="7">
        <f>21 + 28</f>
        <v>49</v>
      </c>
      <c r="C60" s="5">
        <f xml:space="preserve"> 11 + 10</f>
        <v>21</v>
      </c>
      <c r="D60" s="8">
        <f>27 + 20</f>
        <v>47</v>
      </c>
      <c r="E60" s="5">
        <v>18</v>
      </c>
      <c r="F60" s="5">
        <f>SUM(Table1[[#This Row],[Travelling]:[waiting and entering]])</f>
        <v>117</v>
      </c>
      <c r="G60" s="11" t="s">
        <v>9</v>
      </c>
    </row>
    <row r="61" spans="1:7" x14ac:dyDescent="0.3">
      <c r="A61">
        <v>60</v>
      </c>
      <c r="B61" s="7">
        <f>25 + 20</f>
        <v>45</v>
      </c>
      <c r="C61" s="5">
        <f xml:space="preserve"> 7 + 10</f>
        <v>17</v>
      </c>
      <c r="D61" s="8">
        <f>25 + 20</f>
        <v>45</v>
      </c>
      <c r="E61" s="5">
        <v>16</v>
      </c>
      <c r="F61" s="5">
        <f>SUM(Table1[[#This Row],[Travelling]:[waiting and entering]])</f>
        <v>107</v>
      </c>
      <c r="G61" s="5" t="s">
        <v>9</v>
      </c>
    </row>
    <row r="62" spans="1:7" x14ac:dyDescent="0.3">
      <c r="A62">
        <v>61</v>
      </c>
      <c r="B62" s="7">
        <f>18 + 26</f>
        <v>44</v>
      </c>
      <c r="C62" s="5">
        <f>15+4</f>
        <v>19</v>
      </c>
      <c r="D62" s="8">
        <f>18 + 26</f>
        <v>44</v>
      </c>
      <c r="E62" s="5">
        <v>13</v>
      </c>
      <c r="F62" s="5">
        <f>SUM(Table1[[#This Row],[Travelling]:[waiting and entering]])</f>
        <v>107</v>
      </c>
      <c r="G62" s="11" t="s">
        <v>9</v>
      </c>
    </row>
    <row r="63" spans="1:7" x14ac:dyDescent="0.3">
      <c r="A63">
        <v>62</v>
      </c>
      <c r="B63" s="7">
        <f>24 + 19</f>
        <v>43</v>
      </c>
      <c r="C63" s="5">
        <f>7 + 4</f>
        <v>11</v>
      </c>
      <c r="D63" s="8">
        <f>22 + 6</f>
        <v>28</v>
      </c>
      <c r="E63" s="5">
        <v>16</v>
      </c>
      <c r="F63" s="5">
        <f>SUM(Table1[[#This Row],[Travelling]:[waiting and entering]])</f>
        <v>82</v>
      </c>
      <c r="G63" s="5" t="s">
        <v>10</v>
      </c>
    </row>
    <row r="64" spans="1:7" x14ac:dyDescent="0.3">
      <c r="A64">
        <v>63</v>
      </c>
      <c r="B64" s="10">
        <v>34</v>
      </c>
      <c r="C64" s="11">
        <v>10</v>
      </c>
      <c r="D64" s="12">
        <v>25</v>
      </c>
      <c r="E64" s="11">
        <v>15</v>
      </c>
      <c r="F64" s="11">
        <f>SUM(Table1[[#This Row],[Travelling]:[waiting and entering]])</f>
        <v>69</v>
      </c>
      <c r="G64" s="11" t="s">
        <v>11</v>
      </c>
    </row>
    <row r="65" spans="1:7" x14ac:dyDescent="0.3">
      <c r="A65">
        <v>64</v>
      </c>
      <c r="B65" s="10">
        <v>33</v>
      </c>
      <c r="C65" s="11">
        <v>10</v>
      </c>
      <c r="D65" s="12">
        <v>25</v>
      </c>
      <c r="E65" s="11">
        <v>14</v>
      </c>
      <c r="F65" s="11">
        <f>SUM(Table1[[#This Row],[Travelling]:[waiting and entering]])</f>
        <v>68</v>
      </c>
      <c r="G65" s="11" t="s">
        <v>11</v>
      </c>
    </row>
    <row r="66" spans="1:7" x14ac:dyDescent="0.3">
      <c r="A66">
        <v>65</v>
      </c>
      <c r="B66" s="10">
        <f>28+20</f>
        <v>48</v>
      </c>
      <c r="C66" s="11">
        <f>17+5</f>
        <v>22</v>
      </c>
      <c r="D66" s="12">
        <f>19+30</f>
        <v>49</v>
      </c>
      <c r="E66" s="11">
        <v>15</v>
      </c>
      <c r="F66" s="11">
        <f>SUM(Table1[[#This Row],[Travelling]:[waiting and entering]])</f>
        <v>119</v>
      </c>
      <c r="G66" s="11" t="s">
        <v>10</v>
      </c>
    </row>
    <row r="67" spans="1:7" x14ac:dyDescent="0.3">
      <c r="A67">
        <v>66</v>
      </c>
      <c r="B67" s="10">
        <f>25+23</f>
        <v>48</v>
      </c>
      <c r="C67" s="11">
        <f>12+2</f>
        <v>14</v>
      </c>
      <c r="D67" s="12">
        <f>33+5</f>
        <v>38</v>
      </c>
      <c r="E67" s="11">
        <v>15</v>
      </c>
      <c r="F67" s="11">
        <f>SUM(Table1[[#This Row],[Travelling]:[waiting and entering]])</f>
        <v>100</v>
      </c>
      <c r="G67" s="11" t="s">
        <v>10</v>
      </c>
    </row>
    <row r="68" spans="1:7" x14ac:dyDescent="0.3">
      <c r="A68">
        <v>67</v>
      </c>
      <c r="B68" s="10">
        <f>18+26</f>
        <v>44</v>
      </c>
      <c r="C68" s="11">
        <f>10+9</f>
        <v>19</v>
      </c>
      <c r="D68" s="12">
        <f>15+37</f>
        <v>52</v>
      </c>
      <c r="E68" s="11">
        <v>16</v>
      </c>
      <c r="F68" s="11">
        <f>SUM(Table1[[#This Row],[Travelling]:[waiting and entering]])</f>
        <v>115</v>
      </c>
      <c r="G68" s="11" t="s">
        <v>10</v>
      </c>
    </row>
    <row r="69" spans="1:7" x14ac:dyDescent="0.3">
      <c r="A69">
        <v>68</v>
      </c>
      <c r="B69" s="10">
        <f>26+19</f>
        <v>45</v>
      </c>
      <c r="C69" s="11">
        <f>8+8</f>
        <v>16</v>
      </c>
      <c r="D69" s="12">
        <f>31+11</f>
        <v>42</v>
      </c>
      <c r="E69" s="11">
        <v>17</v>
      </c>
      <c r="F69" s="11">
        <f>SUM(Table1[[#This Row],[Travelling]:[waiting and entering]])</f>
        <v>103</v>
      </c>
      <c r="G69" s="11" t="s">
        <v>10</v>
      </c>
    </row>
    <row r="70" spans="1:7" x14ac:dyDescent="0.3">
      <c r="A70">
        <v>69</v>
      </c>
      <c r="B70" s="10">
        <f>20+24</f>
        <v>44</v>
      </c>
      <c r="C70" s="11">
        <f>17+10</f>
        <v>27</v>
      </c>
      <c r="D70" s="12">
        <f>19+20</f>
        <v>39</v>
      </c>
      <c r="E70" s="11">
        <v>12</v>
      </c>
      <c r="F70" s="11">
        <f>SUM(Table1[[#This Row],[Travelling]:[waiting and entering]])</f>
        <v>110</v>
      </c>
      <c r="G70" s="11" t="s">
        <v>10</v>
      </c>
    </row>
    <row r="71" spans="1:7" x14ac:dyDescent="0.3">
      <c r="A71">
        <v>70</v>
      </c>
      <c r="B71" s="10">
        <f>25+19</f>
        <v>44</v>
      </c>
      <c r="C71" s="11">
        <f>7+7</f>
        <v>14</v>
      </c>
      <c r="D71" s="12">
        <f>19+17</f>
        <v>36</v>
      </c>
      <c r="E71" s="11">
        <v>14</v>
      </c>
      <c r="F71" s="11">
        <f>SUM(Table1[[#This Row],[Travelling]:[waiting and entering]])</f>
        <v>94</v>
      </c>
      <c r="G71" s="11" t="s">
        <v>10</v>
      </c>
    </row>
    <row r="72" spans="1:7" x14ac:dyDescent="0.3">
      <c r="A72">
        <v>71</v>
      </c>
      <c r="B72" s="10">
        <f>20+25</f>
        <v>45</v>
      </c>
      <c r="C72" s="11">
        <f>12+6</f>
        <v>18</v>
      </c>
      <c r="D72" s="12">
        <f>12+8</f>
        <v>20</v>
      </c>
      <c r="E72" s="11">
        <v>11</v>
      </c>
      <c r="F72" s="11">
        <f>SUM(Table1[[#This Row],[Travelling]:[waiting and entering]])</f>
        <v>83</v>
      </c>
      <c r="G72" s="11" t="s">
        <v>10</v>
      </c>
    </row>
    <row r="73" spans="1:7" x14ac:dyDescent="0.3">
      <c r="A73">
        <v>72</v>
      </c>
      <c r="B73" s="10">
        <v>33</v>
      </c>
      <c r="C73" s="11">
        <v>11</v>
      </c>
      <c r="D73" s="12">
        <v>26</v>
      </c>
      <c r="E73" s="11">
        <v>20</v>
      </c>
      <c r="F73" s="11">
        <f>SUM(Table1[[#This Row],[Travelling]:[waiting and entering]])</f>
        <v>70</v>
      </c>
      <c r="G73" s="11" t="s">
        <v>11</v>
      </c>
    </row>
    <row r="74" spans="1:7" x14ac:dyDescent="0.3">
      <c r="A74">
        <v>73</v>
      </c>
      <c r="B74" s="10">
        <v>33</v>
      </c>
      <c r="C74" s="11">
        <v>15</v>
      </c>
      <c r="D74" s="12">
        <v>4</v>
      </c>
      <c r="E74" s="11">
        <v>4</v>
      </c>
      <c r="F74" s="11">
        <f>SUM(Table1[[#This Row],[Travelling]:[waiting and entering]])</f>
        <v>52</v>
      </c>
      <c r="G74" s="11" t="s">
        <v>11</v>
      </c>
    </row>
    <row r="75" spans="1:7" x14ac:dyDescent="0.3">
      <c r="A75">
        <v>74</v>
      </c>
      <c r="B75" s="10">
        <v>33</v>
      </c>
      <c r="C75" s="11">
        <v>9</v>
      </c>
      <c r="D75" s="12">
        <v>21</v>
      </c>
      <c r="E75" s="11">
        <v>14</v>
      </c>
      <c r="F75" s="11">
        <f>SUM(Table1[[#This Row],[Travelling]:[waiting and entering]])</f>
        <v>63</v>
      </c>
      <c r="G75" s="11" t="s">
        <v>11</v>
      </c>
    </row>
    <row r="76" spans="1:7" x14ac:dyDescent="0.3">
      <c r="A76">
        <v>75</v>
      </c>
      <c r="B76" s="10">
        <f>19+27</f>
        <v>46</v>
      </c>
      <c r="C76" s="11">
        <f>15+9</f>
        <v>24</v>
      </c>
      <c r="D76" s="12">
        <f>20+18</f>
        <v>38</v>
      </c>
      <c r="E76" s="11">
        <v>16</v>
      </c>
      <c r="F76" s="11">
        <f>SUM(Table1[[#This Row],[Travelling]:[waiting and entering]])</f>
        <v>108</v>
      </c>
      <c r="G76" s="11" t="s">
        <v>10</v>
      </c>
    </row>
    <row r="77" spans="1:7" x14ac:dyDescent="0.3">
      <c r="A77">
        <v>76</v>
      </c>
      <c r="B77" s="10">
        <f>25+20</f>
        <v>45</v>
      </c>
      <c r="C77" s="11">
        <f>9+8</f>
        <v>17</v>
      </c>
      <c r="D77" s="12">
        <f>32+28</f>
        <v>60</v>
      </c>
      <c r="E77" s="11">
        <v>16</v>
      </c>
      <c r="F77" s="11">
        <f>SUM(Table1[[#This Row],[Travelling]:[waiting and entering]])</f>
        <v>122</v>
      </c>
      <c r="G77" s="11" t="s">
        <v>10</v>
      </c>
    </row>
    <row r="78" spans="1:7" x14ac:dyDescent="0.3">
      <c r="A78">
        <v>77</v>
      </c>
      <c r="B78" s="10">
        <v>32</v>
      </c>
      <c r="C78" s="11">
        <v>10</v>
      </c>
      <c r="D78" s="12">
        <v>31</v>
      </c>
      <c r="E78" s="11">
        <v>16</v>
      </c>
      <c r="F78" s="11">
        <f>SUM(Table1[[#This Row],[Travelling]:[waiting and entering]])</f>
        <v>73</v>
      </c>
      <c r="G78" s="11" t="s">
        <v>11</v>
      </c>
    </row>
    <row r="79" spans="1:7" x14ac:dyDescent="0.3">
      <c r="A79">
        <v>78</v>
      </c>
      <c r="B79" s="10">
        <f>28+21</f>
        <v>49</v>
      </c>
      <c r="C79" s="11">
        <f>2+5</f>
        <v>7</v>
      </c>
      <c r="D79" s="12">
        <f>12+4</f>
        <v>16</v>
      </c>
      <c r="E79" s="11">
        <v>3</v>
      </c>
      <c r="F79" s="11">
        <f>SUM(Table1[[#This Row],[Travelling]:[waiting and entering]])</f>
        <v>72</v>
      </c>
      <c r="G79" s="11" t="s">
        <v>10</v>
      </c>
    </row>
    <row r="80" spans="1:7" x14ac:dyDescent="0.3">
      <c r="A80">
        <v>79</v>
      </c>
      <c r="B80" s="10">
        <f>32+19</f>
        <v>51</v>
      </c>
      <c r="C80" s="11">
        <f>7+14</f>
        <v>21</v>
      </c>
      <c r="D80" s="12">
        <f>32+7</f>
        <v>39</v>
      </c>
      <c r="E80" s="11">
        <v>15</v>
      </c>
      <c r="F80" s="11">
        <f>SUM(Table1[[#This Row],[Travelling]:[waiting and entering]])</f>
        <v>111</v>
      </c>
      <c r="G80" s="11" t="s">
        <v>10</v>
      </c>
    </row>
    <row r="81" spans="1:7" x14ac:dyDescent="0.3">
      <c r="A81">
        <v>80</v>
      </c>
      <c r="B81" s="10">
        <f>20+25</f>
        <v>45</v>
      </c>
      <c r="C81" s="11">
        <f>9+6</f>
        <v>15</v>
      </c>
      <c r="D81" s="12">
        <f>8+14</f>
        <v>22</v>
      </c>
      <c r="E81" s="11">
        <v>3</v>
      </c>
      <c r="F81" s="11">
        <f>SUM(Table1[[#This Row],[Travelling]:[waiting and entering]])</f>
        <v>82</v>
      </c>
      <c r="G81" s="11" t="s">
        <v>10</v>
      </c>
    </row>
    <row r="82" spans="1:7" x14ac:dyDescent="0.3">
      <c r="A82">
        <v>81</v>
      </c>
      <c r="B82" s="10">
        <f>26+20</f>
        <v>46</v>
      </c>
      <c r="C82" s="11">
        <f>8+7</f>
        <v>15</v>
      </c>
      <c r="D82" s="12">
        <f>29+5</f>
        <v>34</v>
      </c>
      <c r="E82" s="11">
        <v>17</v>
      </c>
      <c r="F82" s="11">
        <f>SUM(Table1[[#This Row],[Travelling]:[waiting and entering]])</f>
        <v>95</v>
      </c>
      <c r="G82" s="11" t="s">
        <v>10</v>
      </c>
    </row>
    <row r="83" spans="1:7" x14ac:dyDescent="0.3">
      <c r="A83">
        <v>82</v>
      </c>
      <c r="B83" s="10">
        <v>32</v>
      </c>
      <c r="C83" s="11">
        <v>11</v>
      </c>
      <c r="D83" s="12">
        <v>24</v>
      </c>
      <c r="E83" s="11">
        <v>15</v>
      </c>
      <c r="F83" s="11">
        <f>SUM(Table1[[#This Row],[Travelling]:[waiting and entering]])</f>
        <v>67</v>
      </c>
      <c r="G83" s="11" t="s">
        <v>11</v>
      </c>
    </row>
    <row r="84" spans="1:7" x14ac:dyDescent="0.3">
      <c r="A84">
        <v>83</v>
      </c>
      <c r="B84" s="10">
        <f xml:space="preserve"> 26 + 19</f>
        <v>45</v>
      </c>
      <c r="C84" s="11">
        <f xml:space="preserve"> 7 + 5</f>
        <v>12</v>
      </c>
      <c r="D84" s="12">
        <f>25 + 6</f>
        <v>31</v>
      </c>
      <c r="E84" s="11">
        <v>15</v>
      </c>
      <c r="F84" s="11">
        <f>SUM(Table1[[#This Row],[Travelling]:[waiting and entering]])</f>
        <v>88</v>
      </c>
      <c r="G84" s="11" t="s">
        <v>10</v>
      </c>
    </row>
    <row r="85" spans="1:7" x14ac:dyDescent="0.3">
      <c r="A85">
        <v>84</v>
      </c>
      <c r="B85" s="10">
        <f>18 + 26</f>
        <v>44</v>
      </c>
      <c r="C85" s="11">
        <f xml:space="preserve"> 9 + 13</f>
        <v>22</v>
      </c>
      <c r="D85" s="12">
        <f xml:space="preserve"> 21 + 16</f>
        <v>37</v>
      </c>
      <c r="E85" s="11">
        <v>17</v>
      </c>
      <c r="F85" s="11">
        <f>SUM(Table1[[#This Row],[Travelling]:[waiting and entering]])</f>
        <v>103</v>
      </c>
      <c r="G85" s="11" t="s">
        <v>10</v>
      </c>
    </row>
    <row r="86" spans="1:7" x14ac:dyDescent="0.3">
      <c r="A86">
        <v>85</v>
      </c>
      <c r="B86" s="10">
        <v>33</v>
      </c>
      <c r="C86" s="11">
        <v>10</v>
      </c>
      <c r="D86" s="12">
        <v>24</v>
      </c>
      <c r="E86" s="11">
        <v>15</v>
      </c>
      <c r="F86" s="11">
        <f>SUM(Table1[[#This Row],[Travelling]:[waiting and entering]])</f>
        <v>67</v>
      </c>
      <c r="G86" s="11" t="s">
        <v>11</v>
      </c>
    </row>
    <row r="87" spans="1:7" x14ac:dyDescent="0.3">
      <c r="A87">
        <v>86</v>
      </c>
      <c r="B87" s="10">
        <v>33</v>
      </c>
      <c r="C87" s="11">
        <v>9</v>
      </c>
      <c r="D87" s="12">
        <v>21</v>
      </c>
      <c r="E87" s="11">
        <v>11</v>
      </c>
      <c r="F87" s="11">
        <f>SUM(Table1[[#This Row],[Travelling]:[waiting and entering]])</f>
        <v>63</v>
      </c>
      <c r="G87" s="11" t="s">
        <v>11</v>
      </c>
    </row>
    <row r="88" spans="1:7" x14ac:dyDescent="0.3">
      <c r="A88">
        <v>87</v>
      </c>
      <c r="B88" s="7">
        <v>32</v>
      </c>
      <c r="C88" s="5">
        <v>6</v>
      </c>
      <c r="D88" s="8">
        <v>17</v>
      </c>
      <c r="E88" s="5">
        <v>7</v>
      </c>
      <c r="F88" s="5">
        <f>SUM(Table1[[#This Row],[Travelling]:[waiting and entering]])</f>
        <v>55</v>
      </c>
      <c r="G88" s="11" t="s">
        <v>8</v>
      </c>
    </row>
    <row r="89" spans="1:7" x14ac:dyDescent="0.3">
      <c r="A89">
        <v>88</v>
      </c>
      <c r="B89" s="7">
        <v>33</v>
      </c>
      <c r="C89" s="5">
        <v>9</v>
      </c>
      <c r="D89" s="8">
        <v>34</v>
      </c>
      <c r="E89" s="5">
        <v>12</v>
      </c>
      <c r="F89" s="5">
        <f>SUM(Table1[[#This Row],[Travelling]:[waiting and entering]])</f>
        <v>76</v>
      </c>
      <c r="G89" s="11" t="s">
        <v>8</v>
      </c>
    </row>
    <row r="90" spans="1:7" x14ac:dyDescent="0.3">
      <c r="A90">
        <v>89</v>
      </c>
      <c r="B90" s="7">
        <v>33</v>
      </c>
      <c r="C90" s="5">
        <v>5</v>
      </c>
      <c r="D90" s="8">
        <v>6</v>
      </c>
      <c r="E90" s="5">
        <v>2</v>
      </c>
      <c r="F90" s="5">
        <f>SUM(Table1[[#This Row],[Travelling]:[waiting and entering]])</f>
        <v>44</v>
      </c>
      <c r="G90" s="11" t="s">
        <v>8</v>
      </c>
    </row>
    <row r="91" spans="1:7" x14ac:dyDescent="0.3">
      <c r="A91">
        <v>90</v>
      </c>
      <c r="B91" s="7">
        <v>33</v>
      </c>
      <c r="C91" s="5">
        <v>9</v>
      </c>
      <c r="D91" s="8">
        <v>27</v>
      </c>
      <c r="E91" s="5">
        <v>13</v>
      </c>
      <c r="F91" s="5">
        <f>SUM(Table1[[#This Row],[Travelling]:[waiting and entering]])</f>
        <v>69</v>
      </c>
      <c r="G91" s="11" t="s">
        <v>8</v>
      </c>
    </row>
    <row r="92" spans="1:7" x14ac:dyDescent="0.3">
      <c r="A92">
        <v>91</v>
      </c>
      <c r="B92" s="7">
        <v>32</v>
      </c>
      <c r="C92" s="5">
        <v>11</v>
      </c>
      <c r="D92" s="8">
        <v>26</v>
      </c>
      <c r="E92" s="5">
        <v>14</v>
      </c>
      <c r="F92" s="5">
        <f>SUM(Table1[[#This Row],[Travelling]:[waiting and entering]])</f>
        <v>69</v>
      </c>
      <c r="G92" s="11" t="s">
        <v>8</v>
      </c>
    </row>
    <row r="93" spans="1:7" x14ac:dyDescent="0.3">
      <c r="A93">
        <v>92</v>
      </c>
      <c r="B93" s="7">
        <v>33</v>
      </c>
      <c r="C93" s="5">
        <v>8</v>
      </c>
      <c r="D93" s="8">
        <v>28</v>
      </c>
      <c r="E93" s="5">
        <v>15</v>
      </c>
      <c r="F93" s="5">
        <f>SUM(Table1[[#This Row],[Travelling]:[waiting and entering]])</f>
        <v>69</v>
      </c>
      <c r="G93" s="11" t="s">
        <v>8</v>
      </c>
    </row>
    <row r="94" spans="1:7" x14ac:dyDescent="0.3">
      <c r="A94">
        <v>93</v>
      </c>
      <c r="B94" s="10">
        <v>33</v>
      </c>
      <c r="C94" s="11">
        <v>11</v>
      </c>
      <c r="D94" s="12">
        <v>25</v>
      </c>
      <c r="E94" s="11">
        <v>17</v>
      </c>
      <c r="F94" s="11">
        <f>SUM(Table1[[#This Row],[Travelling]:[waiting and entering]])</f>
        <v>69</v>
      </c>
      <c r="G94" s="11" t="s">
        <v>11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Alvin Cheung</cp:lastModifiedBy>
  <dcterms:created xsi:type="dcterms:W3CDTF">2025-11-04T04:45:52Z</dcterms:created>
  <dcterms:modified xsi:type="dcterms:W3CDTF">2026-03-28T04:40:44Z</dcterms:modified>
</cp:coreProperties>
</file>